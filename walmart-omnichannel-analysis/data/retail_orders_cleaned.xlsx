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drianpacheco/Desktop/walmart-omnichannel-analysis/data/"/>
    </mc:Choice>
  </mc:AlternateContent>
  <xr:revisionPtr revIDLastSave="0" documentId="13_ncr:1_{F4AB28BA-EE0C-F542-B64F-81B15AEFA170}" xr6:coauthVersionLast="47" xr6:coauthVersionMax="47" xr10:uidLastSave="{00000000-0000-0000-0000-000000000000}"/>
  <bookViews>
    <workbookView xWindow="0" yWindow="600" windowWidth="28800" windowHeight="15980" activeTab="3" xr2:uid="{DF042777-3934-0441-BA33-3DD87A9FDC14}"/>
  </bookViews>
  <sheets>
    <sheet name="falla_omnicanal" sheetId="2" r:id="rId1"/>
    <sheet name="causa_raíz" sheetId="3" r:id="rId2"/>
    <sheet name="impacto_financiero" sheetId="4" r:id="rId3"/>
    <sheet name="muestra_proporcional_5%" sheetId="1" r:id="rId4"/>
  </sheets>
  <definedNames>
    <definedName name="_xlnm._FilterDatabase" localSheetId="3" hidden="1">'muestra_proporcional_5%'!$A$1:$K$1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</calcChain>
</file>

<file path=xl/sharedStrings.xml><?xml version="1.0" encoding="utf-8"?>
<sst xmlns="http://schemas.openxmlformats.org/spreadsheetml/2006/main" count="97" uniqueCount="56">
  <si>
    <t>order_id</t>
  </si>
  <si>
    <t>order_date</t>
  </si>
  <si>
    <t>store_id</t>
  </si>
  <si>
    <t>customer_id_anonymized</t>
  </si>
  <si>
    <t>product_category</t>
  </si>
  <si>
    <t>promised_delivery_time</t>
  </si>
  <si>
    <t>actual_delivery_time</t>
  </si>
  <si>
    <t>order_status</t>
  </si>
  <si>
    <t>cancellation_reason</t>
  </si>
  <si>
    <t>picker_time_minutes</t>
  </si>
  <si>
    <t>order_value_mxn</t>
  </si>
  <si>
    <t>WM-80101</t>
  </si>
  <si>
    <t>Tienda 142 (Perisur)</t>
  </si>
  <si>
    <t>a4f2c91b...</t>
  </si>
  <si>
    <t>Abarrotes</t>
  </si>
  <si>
    <t>Entregado</t>
  </si>
  <si>
    <t>N/A</t>
  </si>
  <si>
    <t>WM-80102</t>
  </si>
  <si>
    <t>Tienda 105 (Santa Fe)</t>
  </si>
  <si>
    <t>7b3e81ac...</t>
  </si>
  <si>
    <t>NULL</t>
  </si>
  <si>
    <t>Cancelado</t>
  </si>
  <si>
    <t>Sin Stock</t>
  </si>
  <si>
    <t>WM-80103</t>
  </si>
  <si>
    <t>Tienda 210 (Buenavista)</t>
  </si>
  <si>
    <t>9c1d4e5f...</t>
  </si>
  <si>
    <t>Demora en Entrega</t>
  </si>
  <si>
    <t>WM-80104</t>
  </si>
  <si>
    <t>Tienda 112 (Toreo)</t>
  </si>
  <si>
    <t>3f8a7c2d...</t>
  </si>
  <si>
    <t>Cliente Cancela</t>
  </si>
  <si>
    <t>WM-80105</t>
  </si>
  <si>
    <t>5e2b9f6a...</t>
  </si>
  <si>
    <t>WM-80106</t>
  </si>
  <si>
    <t>Tienda 190 (Tepeyac)</t>
  </si>
  <si>
    <t>1c4d8e7b...</t>
  </si>
  <si>
    <t>WM-80107</t>
  </si>
  <si>
    <t>8a9f2c3d...</t>
  </si>
  <si>
    <t>WM-80108</t>
  </si>
  <si>
    <t>6d3e1a8f...</t>
  </si>
  <si>
    <t>Devuelto</t>
  </si>
  <si>
    <t>Producto Dañado</t>
  </si>
  <si>
    <t>WM-80109</t>
  </si>
  <si>
    <t>2b7c4e9a...</t>
  </si>
  <si>
    <t>WM-80110</t>
  </si>
  <si>
    <t>9f1a8c3b...</t>
  </si>
  <si>
    <t>delivery_delay_minutes</t>
  </si>
  <si>
    <t>order_status_grouped</t>
  </si>
  <si>
    <t>Etiquetas de fila</t>
  </si>
  <si>
    <t>Exitoso</t>
  </si>
  <si>
    <t>Incidencia</t>
  </si>
  <si>
    <t>Total general</t>
  </si>
  <si>
    <t>Porcentaje del total</t>
  </si>
  <si>
    <t>Suma de order_value_mxn</t>
  </si>
  <si>
    <t>Cantidad de pedidos</t>
  </si>
  <si>
    <t>Porcentaje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</si>
</sst>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1" xfId="0" applyFill="1" applyBorder="1"/>
    <xf numFmtId="22" fontId="0" fillId="2" borderId="1" xfId="0" applyNumberFormat="1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0" fontId="0" fillId="2" borderId="1" xfId="0" quotePrefix="1" applyFill="1" applyBorder="1"/>
    <xf numFmtId="0" fontId="1" fillId="3" borderId="1" xfId="0" applyFont="1" applyFill="1" applyBorder="1"/>
    <xf numFmtId="22" fontId="1" fillId="3" borderId="1" xfId="0" applyNumberFormat="1" applyFont="1" applyFill="1" applyBorder="1"/>
    <xf numFmtId="2" fontId="1" fillId="3" borderId="1" xfId="0" applyNumberFormat="1" applyFont="1" applyFill="1" applyBorder="1"/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DFF"/>
      <color rgb="FF9028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[retail_orders_cleaned.xlsx]falla_omnicanal!TablaDinámica1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Tasa de Falla Omnicanal: 50% de Incidencias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falla_omnicanal!$B$1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0F7-644B-A9FB-C7E3DA5E3D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F7-644B-A9FB-C7E3DA5E3D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falla_omnicanal!$A$2:$A$4</c:f>
              <c:strCache>
                <c:ptCount val="2"/>
                <c:pt idx="0">
                  <c:v>Exitoso</c:v>
                </c:pt>
                <c:pt idx="1">
                  <c:v>Incidencia</c:v>
                </c:pt>
              </c:strCache>
            </c:strRef>
          </c:cat>
          <c:val>
            <c:numRef>
              <c:f>falla_omnicanal!$B$2:$B$4</c:f>
              <c:numCache>
                <c:formatCode>0.00%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7-644B-A9FB-C7E3DA5E3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197005655983152"/>
          <c:y val="0.45581342586413987"/>
          <c:w val="0.11408628146833759"/>
          <c:h val="0.11280414100779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[retail_orders_cleaned.xlsx]causa_raíz!TablaDinámica2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Causa</a:t>
            </a:r>
            <a:r>
              <a:rPr lang="es-MX" baseline="0"/>
              <a:t> Raíz: 43% de Cancelaciones por Falta de Stock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</c:pivotFmt>
      <c:pivotFmt>
        <c:idx val="3"/>
        <c:spPr>
          <a:noFill/>
          <a:ln>
            <a:noFill/>
          </a:ln>
          <a:effectLst/>
        </c:spPr>
      </c:pivotFmt>
      <c:pivotFmt>
        <c:idx val="4"/>
        <c:spPr>
          <a:noFill/>
          <a:ln>
            <a:noFill/>
          </a:ln>
          <a:effectLst/>
        </c:spPr>
      </c:pivotFmt>
      <c:pivotFmt>
        <c:idx val="5"/>
        <c:spPr>
          <a:noFill/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causa_raíz!$B$1</c:f>
              <c:strCache>
                <c:ptCount val="1"/>
                <c:pt idx="0">
                  <c:v>Cantidad de pedidos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47-2840-A3D2-F2E91F80E223}"/>
              </c:ext>
            </c:extLst>
          </c:dPt>
          <c:cat>
            <c:strRef>
              <c:f>causa_raíz!$A$2:$A$6</c:f>
              <c:strCache>
                <c:ptCount val="4"/>
                <c:pt idx="0">
                  <c:v>Producto Dañado</c:v>
                </c:pt>
                <c:pt idx="1">
                  <c:v>Cliente Cancela</c:v>
                </c:pt>
                <c:pt idx="2">
                  <c:v>Demora en Entrega</c:v>
                </c:pt>
                <c:pt idx="3">
                  <c:v>Sin Stock</c:v>
                </c:pt>
              </c:strCache>
            </c:strRef>
          </c:cat>
          <c:val>
            <c:numRef>
              <c:f>causa_raíz!$B$2:$B$6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84-244A-8CE7-04DE2C23A55D}"/>
            </c:ext>
          </c:extLst>
        </c:ser>
        <c:ser>
          <c:idx val="1"/>
          <c:order val="1"/>
          <c:tx>
            <c:strRef>
              <c:f>causa_raíz!$C$1</c:f>
              <c:strCache>
                <c:ptCount val="1"/>
                <c:pt idx="0">
                  <c:v>Porcentaje 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284-244A-8CE7-04DE2C23A5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causa_raíz!$A$2:$A$6</c:f>
              <c:strCache>
                <c:ptCount val="4"/>
                <c:pt idx="0">
                  <c:v>Producto Dañado</c:v>
                </c:pt>
                <c:pt idx="1">
                  <c:v>Cliente Cancela</c:v>
                </c:pt>
                <c:pt idx="2">
                  <c:v>Demora en Entrega</c:v>
                </c:pt>
                <c:pt idx="3">
                  <c:v>Sin Stock</c:v>
                </c:pt>
              </c:strCache>
            </c:strRef>
          </c:cat>
          <c:val>
            <c:numRef>
              <c:f>causa_raíz!$C$2:$C$6</c:f>
              <c:numCache>
                <c:formatCode>0.00%</c:formatCode>
                <c:ptCount val="4"/>
                <c:pt idx="0">
                  <c:v>0.14285714285714285</c:v>
                </c:pt>
                <c:pt idx="1">
                  <c:v>0.14285714285714285</c:v>
                </c:pt>
                <c:pt idx="2">
                  <c:v>0.2857142857142857</c:v>
                </c:pt>
                <c:pt idx="3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84-244A-8CE7-04DE2C23A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7391936"/>
        <c:axId val="1027394624"/>
      </c:barChart>
      <c:catAx>
        <c:axId val="10273919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7394624"/>
        <c:crossesAt val="0"/>
        <c:auto val="1"/>
        <c:lblAlgn val="ctr"/>
        <c:lblOffset val="100"/>
        <c:noMultiLvlLbl val="0"/>
      </c:catAx>
      <c:valAx>
        <c:axId val="1027394624"/>
        <c:scaling>
          <c:orientation val="minMax"/>
          <c:max val="0.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739193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[retail_orders_cleaned.xlsx]impacto_financiero!TablaDinámica3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Impacto</a:t>
            </a:r>
            <a:r>
              <a:rPr lang="es-MX" baseline="0"/>
              <a:t> Financiero: $3,390.49 MXN en Riesgo por Incidencias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impacto_financiero!$B$3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C37-C24B-A983-4E58C1DC9E2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37-C24B-A983-4E58C1DC9E2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C37-C24B-A983-4E58C1DC9E25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37-C24B-A983-4E58C1DC9E25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37-C24B-A983-4E58C1DC9E25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37-C24B-A983-4E58C1DC9E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impacto_financiero!$A$4:$A$7</c:f>
              <c:strCache>
                <c:ptCount val="3"/>
                <c:pt idx="0">
                  <c:v>Entregado</c:v>
                </c:pt>
                <c:pt idx="1">
                  <c:v>Cancelado</c:v>
                </c:pt>
                <c:pt idx="2">
                  <c:v>Devuelto</c:v>
                </c:pt>
              </c:strCache>
            </c:strRef>
          </c:cat>
          <c:val>
            <c:numRef>
              <c:f>impacto_financiero!$B$4:$B$7</c:f>
              <c:numCache>
                <c:formatCode>"$"#,##0.00</c:formatCode>
                <c:ptCount val="3"/>
                <c:pt idx="0">
                  <c:v>5051.8500000000004</c:v>
                </c:pt>
                <c:pt idx="1">
                  <c:v>2780.3</c:v>
                </c:pt>
                <c:pt idx="2">
                  <c:v>610.1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7-C24B-A983-4E58C1DC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131584"/>
        <c:axId val="1017553216"/>
      </c:barChart>
      <c:catAx>
        <c:axId val="102713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7553216"/>
        <c:crosses val="autoZero"/>
        <c:auto val="1"/>
        <c:lblAlgn val="ctr"/>
        <c:lblOffset val="100"/>
        <c:noMultiLvlLbl val="0"/>
      </c:catAx>
      <c:valAx>
        <c:axId val="101755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713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4</xdr:row>
      <xdr:rowOff>25400</xdr:rowOff>
    </xdr:from>
    <xdr:to>
      <xdr:col>14</xdr:col>
      <xdr:colOff>787400</xdr:colOff>
      <xdr:row>29</xdr:row>
      <xdr:rowOff>190500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EEB7E9-E196-C314-B500-AA8004320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6</xdr:row>
      <xdr:rowOff>25400</xdr:rowOff>
    </xdr:from>
    <xdr:to>
      <xdr:col>15</xdr:col>
      <xdr:colOff>812800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C96C69-8050-8CA6-7D1E-A4E6B147E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6350</xdr:rowOff>
    </xdr:from>
    <xdr:to>
      <xdr:col>15</xdr:col>
      <xdr:colOff>0</xdr:colOff>
      <xdr:row>32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EC80AC-C84C-2E95-619A-DF8F7ACF2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Adrian Barajas Pacheco" refreshedDate="46316.87297488426" createdVersion="8" refreshedVersion="8" minRefreshableVersion="3" recordCount="10" xr:uid="{2B6711FB-EF4E-E246-BE5C-CEF21F6B0BAC}">
  <cacheSource type="worksheet">
    <worksheetSource ref="A1:M11" sheet="muestra_proporcional_5%"/>
  </cacheSource>
  <cacheFields count="13">
    <cacheField name="order_id" numFmtId="0">
      <sharedItems/>
    </cacheField>
    <cacheField name="order_date" numFmtId="22">
      <sharedItems containsSemiMixedTypes="0" containsNonDate="0" containsDate="1" containsString="0" minDate="2026-03-01T09:15:00" maxDate="2026-03-02T15:20:00"/>
    </cacheField>
    <cacheField name="store_id" numFmtId="0">
      <sharedItems/>
    </cacheField>
    <cacheField name="customer_id_anonymized" numFmtId="0">
      <sharedItems/>
    </cacheField>
    <cacheField name="product_category" numFmtId="0">
      <sharedItems/>
    </cacheField>
    <cacheField name="promised_delivery_time" numFmtId="22">
      <sharedItems containsSemiMixedTypes="0" containsNonDate="0" containsDate="1" containsString="0" minDate="2026-03-01T11:30:00" maxDate="2026-03-02T17:30:00"/>
    </cacheField>
    <cacheField name="actual_delivery_time" numFmtId="0">
      <sharedItems containsDate="1" containsMixedTypes="1" minDate="2026-03-01T11:20:00" maxDate="2026-03-02T16:10:00"/>
    </cacheField>
    <cacheField name="order_status" numFmtId="0">
      <sharedItems count="3">
        <s v="Entregado"/>
        <s v="Cancelado"/>
        <s v="Devuelto"/>
      </sharedItems>
    </cacheField>
    <cacheField name="cancellation_reason" numFmtId="0">
      <sharedItems count="5">
        <s v="N/A"/>
        <s v="Sin Stock"/>
        <s v="Demora en Entrega"/>
        <s v="Cliente Cancela"/>
        <s v="Producto Dañado"/>
      </sharedItems>
    </cacheField>
    <cacheField name="picker_time_minutes" numFmtId="2">
      <sharedItems containsSemiMixedTypes="0" containsString="0" containsNumber="1" containsInteger="1" minValue="15" maxValue="65"/>
    </cacheField>
    <cacheField name="order_value_mxn" numFmtId="164">
      <sharedItems containsSemiMixedTypes="0" containsString="0" containsNumber="1" minValue="320" maxValue="1650.75"/>
    </cacheField>
    <cacheField name="delivery_delay_minutes" numFmtId="0">
      <sharedItems containsSemiMixedTypes="0" containsString="0" containsNumber="1" minValue="-20.000000002328306" maxValue="45"/>
    </cacheField>
    <cacheField name="order_status_grouped" numFmtId="0">
      <sharedItems count="2">
        <s v="Exitoso"/>
        <s v="Incidencia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WM-80101"/>
    <d v="2026-03-01T09:15:00"/>
    <s v="Tienda 142 (Perisur)"/>
    <s v="a4f2c91b..."/>
    <s v="Abarrotes"/>
    <d v="2026-03-01T11:30:00"/>
    <d v="2026-03-01T11:20:00"/>
    <x v="0"/>
    <x v="0"/>
    <n v="35"/>
    <n v="840.5"/>
    <n v="-10.000000001164153"/>
    <x v="0"/>
  </r>
  <r>
    <s v="WM-80102"/>
    <d v="2026-03-01T10:00:00"/>
    <s v="Tienda 105 (Santa Fe)"/>
    <s v="7b3e81ac..."/>
    <s v="Abarrotes"/>
    <d v="2026-03-01T12:00:00"/>
    <s v="NULL"/>
    <x v="1"/>
    <x v="1"/>
    <n v="42"/>
    <n v="1250"/>
    <n v="0"/>
    <x v="1"/>
  </r>
  <r>
    <s v="WM-80103"/>
    <d v="2026-03-01T11:20:00"/>
    <s v="Tienda 210 (Buenavista)"/>
    <s v="9c1d4e5f..."/>
    <s v="Abarrotes"/>
    <d v="2026-03-01T13:30:00"/>
    <d v="2026-03-01T14:15:00"/>
    <x v="0"/>
    <x v="2"/>
    <n v="28"/>
    <n v="490.2"/>
    <n v="45"/>
    <x v="0"/>
  </r>
  <r>
    <s v="WM-80104"/>
    <d v="2026-03-01T12:05:00"/>
    <s v="Tienda 112 (Toreo)"/>
    <s v="3f8a7c2d..."/>
    <s v="Abarrotes"/>
    <d v="2026-03-01T14:00:00"/>
    <s v="NULL"/>
    <x v="1"/>
    <x v="3"/>
    <n v="15"/>
    <n v="320"/>
    <n v="0"/>
    <x v="1"/>
  </r>
  <r>
    <s v="WM-80105"/>
    <d v="2026-03-01T13:40:00"/>
    <s v="Tienda 142 (Perisur)"/>
    <s v="5e2b9f6a..."/>
    <s v="Abarrotes"/>
    <d v="2026-03-01T16:00:00"/>
    <d v="2026-03-01T15:50:00"/>
    <x v="0"/>
    <x v="0"/>
    <n v="50"/>
    <n v="1650.75"/>
    <n v="-10.000000001164153"/>
    <x v="0"/>
  </r>
  <r>
    <s v="WM-80106"/>
    <d v="2026-03-02T08:30:00"/>
    <s v="Tienda 190 (Tepeyac)"/>
    <s v="1c4d8e7b..."/>
    <s v="Abarrotes"/>
    <d v="2026-03-02T10:30:00"/>
    <s v="NULL"/>
    <x v="1"/>
    <x v="1"/>
    <n v="65"/>
    <n v="780"/>
    <n v="0"/>
    <x v="1"/>
  </r>
  <r>
    <s v="WM-80107"/>
    <d v="2026-03-02T09:50:00"/>
    <s v="Tienda 105 (Santa Fe)"/>
    <s v="8a9f2c3d..."/>
    <s v="Abarrotes"/>
    <d v="2026-03-02T12:00:00"/>
    <d v="2026-03-02T12:45:00"/>
    <x v="0"/>
    <x v="2"/>
    <n v="31"/>
    <n v="950.4"/>
    <n v="45"/>
    <x v="0"/>
  </r>
  <r>
    <s v="WM-80108"/>
    <d v="2026-03-02T11:10:00"/>
    <s v="Tienda 210 (Buenavista)"/>
    <s v="6d3e1a8f..."/>
    <s v="Abarrotes"/>
    <d v="2026-03-02T13:00:00"/>
    <s v="NULL"/>
    <x v="2"/>
    <x v="4"/>
    <n v="22"/>
    <n v="610.1"/>
    <n v="0"/>
    <x v="1"/>
  </r>
  <r>
    <s v="WM-80109"/>
    <d v="2026-03-02T14:00:00"/>
    <s v="Tienda 112 (Toreo)"/>
    <s v="2b7c4e9a..."/>
    <s v="Abarrotes"/>
    <d v="2026-03-02T16:30:00"/>
    <d v="2026-03-02T16:10:00"/>
    <x v="0"/>
    <x v="0"/>
    <n v="39"/>
    <n v="1120"/>
    <n v="-20.000000002328306"/>
    <x v="0"/>
  </r>
  <r>
    <s v="WM-80110"/>
    <d v="2026-03-02T15:20:00"/>
    <s v="Tienda 142 (Perisur)"/>
    <s v="9f1a8c3b..."/>
    <s v="Abarrotes"/>
    <d v="2026-03-02T17:30:00"/>
    <s v="NULL"/>
    <x v="1"/>
    <x v="1"/>
    <n v="45"/>
    <n v="430.3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D5DAD-2933-7549-9027-EE9D6D6815C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B4" firstHeaderRow="1" firstDataRow="1" firstDataCol="1"/>
  <pivotFields count="13">
    <pivotField dataField="1" showAll="0"/>
    <pivotField numFmtId="22" showAll="0"/>
    <pivotField showAll="0"/>
    <pivotField showAll="0"/>
    <pivotField showAll="0"/>
    <pivotField numFmtId="22" showAll="0"/>
    <pivotField showAll="0"/>
    <pivotField showAll="0"/>
    <pivotField showAll="0"/>
    <pivotField numFmtId="2" showAll="0"/>
    <pivotField numFmtId="164" showAll="0"/>
    <pivotField showAll="0"/>
    <pivotField axis="axisRow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Porcentaje del total" fld="0" subtotal="count" showDataAs="percentOfTotal" baseField="0" baseItem="0" numFmtId="1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42313-3A76-F149-8CC9-7825B6ECA446}" name="TablaDinámica2" cacheId="0" dataPosition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1:C6" firstHeaderRow="0" firstDataRow="1" firstDataCol="1"/>
  <pivotFields count="13">
    <pivotField dataField="1" showAll="0"/>
    <pivotField numFmtId="22" showAll="0"/>
    <pivotField showAll="0"/>
    <pivotField showAll="0"/>
    <pivotField showAll="0"/>
    <pivotField numFmtId="22" showAll="0"/>
    <pivotField showAll="0"/>
    <pivotField showAll="0"/>
    <pivotField axis="axisRow" showAll="0" sortType="ascending">
      <items count="6">
        <item x="1"/>
        <item x="4"/>
        <item h="1"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2" showAll="0"/>
    <pivotField numFmtId="164" showAll="0"/>
    <pivotField showAll="0"/>
    <pivotField showAll="0"/>
  </pivotFields>
  <rowFields count="1">
    <field x="8"/>
  </rowFields>
  <rowItems count="5">
    <i>
      <x v="1"/>
    </i>
    <i>
      <x v="4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antidad de pedidos" fld="0" subtotal="count" baseField="0" baseItem="0"/>
    <dataField name="Porcentaje total" fld="0" subtotal="count" showDataAs="percentOfTotal" baseField="0" baseItem="0" numFmtId="1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3B3BC-6E12-034B-9987-DB52F723DBFB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3">
    <pivotField showAll="0"/>
    <pivotField numFmtId="22" showAll="0"/>
    <pivotField showAll="0"/>
    <pivotField showAll="0"/>
    <pivotField showAll="0"/>
    <pivotField numFmtId="22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dataField="1" numFmtId="164" showAll="0"/>
    <pivotField showAll="0"/>
    <pivotField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a de order_value_mxn" fld="10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147F-BE7A-8347-B42F-584F48030A9B}">
  <dimension ref="A1:B4"/>
  <sheetViews>
    <sheetView workbookViewId="0">
      <selection activeCell="C21" sqref="C21"/>
    </sheetView>
  </sheetViews>
  <sheetFormatPr baseColWidth="10" defaultRowHeight="16" x14ac:dyDescent="0.2"/>
  <cols>
    <col min="1" max="1" width="16.83203125" bestFit="1" customWidth="1"/>
    <col min="2" max="2" width="17.33203125" bestFit="1" customWidth="1"/>
  </cols>
  <sheetData>
    <row r="1" spans="1:2" x14ac:dyDescent="0.2">
      <c r="A1" s="3" t="s">
        <v>48</v>
      </c>
      <c r="B1" t="s">
        <v>52</v>
      </c>
    </row>
    <row r="2" spans="1:2" x14ac:dyDescent="0.2">
      <c r="A2" s="4" t="s">
        <v>49</v>
      </c>
      <c r="B2" s="5">
        <v>0.5</v>
      </c>
    </row>
    <row r="3" spans="1:2" x14ac:dyDescent="0.2">
      <c r="A3" s="4" t="s">
        <v>50</v>
      </c>
      <c r="B3" s="5">
        <v>0.5</v>
      </c>
    </row>
    <row r="4" spans="1:2" x14ac:dyDescent="0.2">
      <c r="A4" s="4" t="s">
        <v>51</v>
      </c>
      <c r="B4" s="5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3554-9327-064A-AAA6-2B49C64BB1E0}">
  <dimension ref="A1:C6"/>
  <sheetViews>
    <sheetView workbookViewId="0">
      <selection activeCell="C15" sqref="C15"/>
    </sheetView>
  </sheetViews>
  <sheetFormatPr baseColWidth="10" defaultRowHeight="16" x14ac:dyDescent="0.2"/>
  <cols>
    <col min="1" max="1" width="16.83203125" bestFit="1" customWidth="1"/>
    <col min="2" max="2" width="18" bestFit="1" customWidth="1"/>
    <col min="3" max="3" width="14.33203125" bestFit="1" customWidth="1"/>
    <col min="4" max="4" width="17" bestFit="1" customWidth="1"/>
    <col min="5" max="5" width="8.6640625" bestFit="1" customWidth="1"/>
    <col min="6" max="6" width="11.6640625" bestFit="1" customWidth="1"/>
  </cols>
  <sheetData>
    <row r="1" spans="1:3" x14ac:dyDescent="0.2">
      <c r="A1" s="3" t="s">
        <v>48</v>
      </c>
      <c r="B1" t="s">
        <v>54</v>
      </c>
      <c r="C1" t="s">
        <v>55</v>
      </c>
    </row>
    <row r="2" spans="1:3" x14ac:dyDescent="0.2">
      <c r="A2" s="4" t="s">
        <v>41</v>
      </c>
      <c r="B2">
        <v>1</v>
      </c>
      <c r="C2" s="5">
        <v>0.14285714285714285</v>
      </c>
    </row>
    <row r="3" spans="1:3" x14ac:dyDescent="0.2">
      <c r="A3" s="4" t="s">
        <v>30</v>
      </c>
      <c r="B3">
        <v>1</v>
      </c>
      <c r="C3" s="5">
        <v>0.14285714285714285</v>
      </c>
    </row>
    <row r="4" spans="1:3" x14ac:dyDescent="0.2">
      <c r="A4" s="4" t="s">
        <v>26</v>
      </c>
      <c r="B4">
        <v>2</v>
      </c>
      <c r="C4" s="5">
        <v>0.2857142857142857</v>
      </c>
    </row>
    <row r="5" spans="1:3" x14ac:dyDescent="0.2">
      <c r="A5" s="4" t="s">
        <v>22</v>
      </c>
      <c r="B5">
        <v>3</v>
      </c>
      <c r="C5" s="5">
        <v>0.42857142857142855</v>
      </c>
    </row>
    <row r="6" spans="1:3" x14ac:dyDescent="0.2">
      <c r="A6" s="4" t="s">
        <v>51</v>
      </c>
      <c r="B6">
        <v>7</v>
      </c>
      <c r="C6" s="5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545F-38E0-5246-AEFA-5AAD21C05313}">
  <dimension ref="A3:B7"/>
  <sheetViews>
    <sheetView topLeftCell="A3" workbookViewId="0">
      <selection activeCell="C26" sqref="C26"/>
    </sheetView>
  </sheetViews>
  <sheetFormatPr baseColWidth="10" defaultRowHeight="16" x14ac:dyDescent="0.2"/>
  <cols>
    <col min="1" max="1" width="16.83203125" bestFit="1" customWidth="1"/>
    <col min="2" max="2" width="22.6640625" bestFit="1" customWidth="1"/>
  </cols>
  <sheetData>
    <row r="3" spans="1:2" x14ac:dyDescent="0.2">
      <c r="A3" s="3" t="s">
        <v>48</v>
      </c>
      <c r="B3" t="s">
        <v>53</v>
      </c>
    </row>
    <row r="4" spans="1:2" x14ac:dyDescent="0.2">
      <c r="A4" s="4" t="s">
        <v>15</v>
      </c>
      <c r="B4" s="1">
        <v>5051.8500000000004</v>
      </c>
    </row>
    <row r="5" spans="1:2" x14ac:dyDescent="0.2">
      <c r="A5" s="4" t="s">
        <v>21</v>
      </c>
      <c r="B5" s="1">
        <v>2780.3</v>
      </c>
    </row>
    <row r="6" spans="1:2" x14ac:dyDescent="0.2">
      <c r="A6" s="4" t="s">
        <v>40</v>
      </c>
      <c r="B6" s="1">
        <v>610.1</v>
      </c>
    </row>
    <row r="7" spans="1:2" x14ac:dyDescent="0.2">
      <c r="A7" s="4" t="s">
        <v>51</v>
      </c>
      <c r="B7" s="1">
        <v>8442.25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9D9E-3DFF-3746-A852-B067FEA1E6A9}">
  <dimension ref="A1:M11"/>
  <sheetViews>
    <sheetView tabSelected="1" workbookViewId="0">
      <selection activeCell="A12" sqref="A12"/>
    </sheetView>
  </sheetViews>
  <sheetFormatPr baseColWidth="10" defaultRowHeight="16" x14ac:dyDescent="0.2"/>
  <cols>
    <col min="1" max="1" width="10" bestFit="1" customWidth="1"/>
    <col min="2" max="2" width="13.33203125" customWidth="1"/>
    <col min="3" max="3" width="20.6640625" customWidth="1"/>
    <col min="4" max="4" width="22" bestFit="1" customWidth="1"/>
    <col min="5" max="5" width="15.33203125" bestFit="1" customWidth="1"/>
    <col min="6" max="6" width="20.5" bestFit="1" customWidth="1"/>
    <col min="7" max="7" width="18.1640625" bestFit="1" customWidth="1"/>
    <col min="8" max="8" width="11.33203125" bestFit="1" customWidth="1"/>
    <col min="9" max="9" width="17.83203125" bestFit="1" customWidth="1"/>
    <col min="10" max="10" width="18.1640625" style="2" bestFit="1" customWidth="1"/>
    <col min="11" max="11" width="14.83203125" style="1" bestFit="1" customWidth="1"/>
    <col min="12" max="12" width="20.1640625" bestFit="1" customWidth="1"/>
    <col min="13" max="13" width="18.83203125" bestFit="1" customWidth="1"/>
  </cols>
  <sheetData>
    <row r="1" spans="1:13" x14ac:dyDescent="0.2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1" t="s">
        <v>7</v>
      </c>
      <c r="I1" s="11" t="s">
        <v>8</v>
      </c>
      <c r="J1" s="13" t="s">
        <v>9</v>
      </c>
      <c r="K1" s="14" t="s">
        <v>10</v>
      </c>
      <c r="L1" s="11" t="s">
        <v>46</v>
      </c>
      <c r="M1" s="11" t="s">
        <v>47</v>
      </c>
    </row>
    <row r="2" spans="1:13" x14ac:dyDescent="0.2">
      <c r="A2" s="6" t="s">
        <v>11</v>
      </c>
      <c r="B2" s="7">
        <v>46082.385416666664</v>
      </c>
      <c r="C2" s="6" t="s">
        <v>12</v>
      </c>
      <c r="D2" s="6" t="s">
        <v>13</v>
      </c>
      <c r="E2" s="6" t="s">
        <v>14</v>
      </c>
      <c r="F2" s="7">
        <v>46082.479166666664</v>
      </c>
      <c r="G2" s="7">
        <v>46082.472222222219</v>
      </c>
      <c r="H2" s="6" t="s">
        <v>15</v>
      </c>
      <c r="I2" s="6" t="s">
        <v>16</v>
      </c>
      <c r="J2" s="8">
        <v>35</v>
      </c>
      <c r="K2" s="9">
        <v>840.5</v>
      </c>
      <c r="L2" s="10">
        <f>IF(H2="Entregado",(G2-F2)*1440,0)</f>
        <v>-10.000000001164153</v>
      </c>
      <c r="M2" s="6" t="str">
        <f>IF(H2="Entregado","Exitoso", "Incidencia")</f>
        <v>Exitoso</v>
      </c>
    </row>
    <row r="3" spans="1:13" x14ac:dyDescent="0.2">
      <c r="A3" s="6" t="s">
        <v>17</v>
      </c>
      <c r="B3" s="7">
        <v>46082.416666666664</v>
      </c>
      <c r="C3" s="6" t="s">
        <v>18</v>
      </c>
      <c r="D3" s="6" t="s">
        <v>19</v>
      </c>
      <c r="E3" s="6" t="s">
        <v>14</v>
      </c>
      <c r="F3" s="7">
        <v>46082.5</v>
      </c>
      <c r="G3" s="6" t="s">
        <v>20</v>
      </c>
      <c r="H3" s="6" t="s">
        <v>21</v>
      </c>
      <c r="I3" s="6" t="s">
        <v>22</v>
      </c>
      <c r="J3" s="8">
        <v>42</v>
      </c>
      <c r="K3" s="9">
        <v>1250</v>
      </c>
      <c r="L3" s="10">
        <f t="shared" ref="L3:L11" si="0">IF(H3="Entregado",(G3-F3)*1440,0)</f>
        <v>0</v>
      </c>
      <c r="M3" s="6" t="str">
        <f t="shared" ref="M3:M11" si="1">IF(H3="Entregado","Exitoso", "Incidencia")</f>
        <v>Incidencia</v>
      </c>
    </row>
    <row r="4" spans="1:13" x14ac:dyDescent="0.2">
      <c r="A4" s="6" t="s">
        <v>23</v>
      </c>
      <c r="B4" s="7">
        <v>46082.472222222219</v>
      </c>
      <c r="C4" s="6" t="s">
        <v>24</v>
      </c>
      <c r="D4" s="6" t="s">
        <v>25</v>
      </c>
      <c r="E4" s="6" t="s">
        <v>14</v>
      </c>
      <c r="F4" s="7">
        <v>46082.5625</v>
      </c>
      <c r="G4" s="7">
        <v>46082.59375</v>
      </c>
      <c r="H4" s="6" t="s">
        <v>15</v>
      </c>
      <c r="I4" s="6" t="s">
        <v>26</v>
      </c>
      <c r="J4" s="8">
        <v>28</v>
      </c>
      <c r="K4" s="9">
        <v>490.2</v>
      </c>
      <c r="L4" s="10">
        <f t="shared" si="0"/>
        <v>45</v>
      </c>
      <c r="M4" s="6" t="str">
        <f t="shared" si="1"/>
        <v>Exitoso</v>
      </c>
    </row>
    <row r="5" spans="1:13" x14ac:dyDescent="0.2">
      <c r="A5" s="6" t="s">
        <v>27</v>
      </c>
      <c r="B5" s="7">
        <v>46082.503472222219</v>
      </c>
      <c r="C5" s="6" t="s">
        <v>28</v>
      </c>
      <c r="D5" s="6" t="s">
        <v>29</v>
      </c>
      <c r="E5" s="6" t="s">
        <v>14</v>
      </c>
      <c r="F5" s="7">
        <v>46082.583333333336</v>
      </c>
      <c r="G5" s="6" t="s">
        <v>20</v>
      </c>
      <c r="H5" s="6" t="s">
        <v>21</v>
      </c>
      <c r="I5" s="6" t="s">
        <v>30</v>
      </c>
      <c r="J5" s="8">
        <v>15</v>
      </c>
      <c r="K5" s="9">
        <v>320</v>
      </c>
      <c r="L5" s="10">
        <f t="shared" si="0"/>
        <v>0</v>
      </c>
      <c r="M5" s="6" t="str">
        <f t="shared" si="1"/>
        <v>Incidencia</v>
      </c>
    </row>
    <row r="6" spans="1:13" x14ac:dyDescent="0.2">
      <c r="A6" s="6" t="s">
        <v>31</v>
      </c>
      <c r="B6" s="7">
        <v>46082.569444444445</v>
      </c>
      <c r="C6" s="6" t="s">
        <v>12</v>
      </c>
      <c r="D6" s="6" t="s">
        <v>32</v>
      </c>
      <c r="E6" s="6" t="s">
        <v>14</v>
      </c>
      <c r="F6" s="7">
        <v>46082.666666666664</v>
      </c>
      <c r="G6" s="7">
        <v>46082.659722222219</v>
      </c>
      <c r="H6" s="6" t="s">
        <v>15</v>
      </c>
      <c r="I6" s="6" t="s">
        <v>16</v>
      </c>
      <c r="J6" s="8">
        <v>50</v>
      </c>
      <c r="K6" s="9">
        <v>1650.75</v>
      </c>
      <c r="L6" s="10">
        <f t="shared" si="0"/>
        <v>-10.000000001164153</v>
      </c>
      <c r="M6" s="6" t="str">
        <f t="shared" si="1"/>
        <v>Exitoso</v>
      </c>
    </row>
    <row r="7" spans="1:13" x14ac:dyDescent="0.2">
      <c r="A7" s="6" t="s">
        <v>33</v>
      </c>
      <c r="B7" s="7">
        <v>46083.354166666664</v>
      </c>
      <c r="C7" s="6" t="s">
        <v>34</v>
      </c>
      <c r="D7" s="6" t="s">
        <v>35</v>
      </c>
      <c r="E7" s="6" t="s">
        <v>14</v>
      </c>
      <c r="F7" s="7">
        <v>46083.4375</v>
      </c>
      <c r="G7" s="6" t="s">
        <v>20</v>
      </c>
      <c r="H7" s="6" t="s">
        <v>21</v>
      </c>
      <c r="I7" s="6" t="s">
        <v>22</v>
      </c>
      <c r="J7" s="8">
        <v>65</v>
      </c>
      <c r="K7" s="9">
        <v>780</v>
      </c>
      <c r="L7" s="10">
        <f t="shared" si="0"/>
        <v>0</v>
      </c>
      <c r="M7" s="6" t="str">
        <f t="shared" si="1"/>
        <v>Incidencia</v>
      </c>
    </row>
    <row r="8" spans="1:13" x14ac:dyDescent="0.2">
      <c r="A8" s="6" t="s">
        <v>36</v>
      </c>
      <c r="B8" s="7">
        <v>46083.409722222219</v>
      </c>
      <c r="C8" s="6" t="s">
        <v>18</v>
      </c>
      <c r="D8" s="6" t="s">
        <v>37</v>
      </c>
      <c r="E8" s="6" t="s">
        <v>14</v>
      </c>
      <c r="F8" s="7">
        <v>46083.5</v>
      </c>
      <c r="G8" s="7">
        <v>46083.53125</v>
      </c>
      <c r="H8" s="6" t="s">
        <v>15</v>
      </c>
      <c r="I8" s="6" t="s">
        <v>26</v>
      </c>
      <c r="J8" s="8">
        <v>31</v>
      </c>
      <c r="K8" s="9">
        <v>950.4</v>
      </c>
      <c r="L8" s="10">
        <f t="shared" si="0"/>
        <v>45</v>
      </c>
      <c r="M8" s="6" t="str">
        <f t="shared" si="1"/>
        <v>Exitoso</v>
      </c>
    </row>
    <row r="9" spans="1:13" x14ac:dyDescent="0.2">
      <c r="A9" s="6" t="s">
        <v>38</v>
      </c>
      <c r="B9" s="7">
        <v>46083.465277777781</v>
      </c>
      <c r="C9" s="6" t="s">
        <v>24</v>
      </c>
      <c r="D9" s="6" t="s">
        <v>39</v>
      </c>
      <c r="E9" s="6" t="s">
        <v>14</v>
      </c>
      <c r="F9" s="7">
        <v>46083.541666666664</v>
      </c>
      <c r="G9" s="6" t="s">
        <v>20</v>
      </c>
      <c r="H9" s="6" t="s">
        <v>40</v>
      </c>
      <c r="I9" s="6" t="s">
        <v>41</v>
      </c>
      <c r="J9" s="8">
        <v>22</v>
      </c>
      <c r="K9" s="9">
        <v>610.1</v>
      </c>
      <c r="L9" s="10">
        <f t="shared" si="0"/>
        <v>0</v>
      </c>
      <c r="M9" s="6" t="str">
        <f t="shared" si="1"/>
        <v>Incidencia</v>
      </c>
    </row>
    <row r="10" spans="1:13" x14ac:dyDescent="0.2">
      <c r="A10" s="6" t="s">
        <v>42</v>
      </c>
      <c r="B10" s="7">
        <v>46083.583333333336</v>
      </c>
      <c r="C10" s="6" t="s">
        <v>28</v>
      </c>
      <c r="D10" s="6" t="s">
        <v>43</v>
      </c>
      <c r="E10" s="6" t="s">
        <v>14</v>
      </c>
      <c r="F10" s="7">
        <v>46083.6875</v>
      </c>
      <c r="G10" s="7">
        <v>46083.673611111109</v>
      </c>
      <c r="H10" s="6" t="s">
        <v>15</v>
      </c>
      <c r="I10" s="6" t="s">
        <v>16</v>
      </c>
      <c r="J10" s="8">
        <v>39</v>
      </c>
      <c r="K10" s="9">
        <v>1120</v>
      </c>
      <c r="L10" s="10">
        <f t="shared" si="0"/>
        <v>-20.000000002328306</v>
      </c>
      <c r="M10" s="6" t="str">
        <f t="shared" si="1"/>
        <v>Exitoso</v>
      </c>
    </row>
    <row r="11" spans="1:13" x14ac:dyDescent="0.2">
      <c r="A11" s="6" t="s">
        <v>44</v>
      </c>
      <c r="B11" s="7">
        <v>46083.638888888891</v>
      </c>
      <c r="C11" s="6" t="s">
        <v>12</v>
      </c>
      <c r="D11" s="6" t="s">
        <v>45</v>
      </c>
      <c r="E11" s="6" t="s">
        <v>14</v>
      </c>
      <c r="F11" s="7">
        <v>46083.729166666664</v>
      </c>
      <c r="G11" s="6" t="s">
        <v>20</v>
      </c>
      <c r="H11" s="6" t="s">
        <v>21</v>
      </c>
      <c r="I11" s="6" t="s">
        <v>22</v>
      </c>
      <c r="J11" s="8">
        <v>45</v>
      </c>
      <c r="K11" s="9">
        <v>430.3</v>
      </c>
      <c r="L11" s="10">
        <f t="shared" si="0"/>
        <v>0</v>
      </c>
      <c r="M11" s="6" t="str">
        <f t="shared" si="1"/>
        <v>Incidencia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falla_omnicanal</vt:lpstr>
      <vt:lpstr>causa_raíz</vt:lpstr>
      <vt:lpstr>impacto_financiero</vt:lpstr>
      <vt:lpstr>muestra_proporcional_5%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Pacheco</dc:creator>
  <cp:lastModifiedBy>Lilia Pacheco</cp:lastModifiedBy>
  <dcterms:created xsi:type="dcterms:W3CDTF">2026-10-22T01:42:00Z</dcterms:created>
  <dcterms:modified xsi:type="dcterms:W3CDTF">2026-10-22T08:34:34Z</dcterms:modified>
</cp:coreProperties>
</file>